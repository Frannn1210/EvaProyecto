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\Desktop\fran\EvaProyecto\"/>
    </mc:Choice>
  </mc:AlternateContent>
  <xr:revisionPtr revIDLastSave="0" documentId="8_{0CC1B367-B290-4E99-8E27-A9894E28FC16}" xr6:coauthVersionLast="47" xr6:coauthVersionMax="47" xr10:uidLastSave="{00000000-0000-0000-0000-000000000000}"/>
  <bookViews>
    <workbookView xWindow="1152" yWindow="1152" windowWidth="17280" windowHeight="8880" xr2:uid="{59720326-12EF-4DE5-A062-82D9687E483F}"/>
  </bookViews>
  <sheets>
    <sheet name="Financiero" sheetId="3" r:id="rId1"/>
    <sheet name="Economico" sheetId="2" r:id="rId2"/>
    <sheet name="Capital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B11" i="3"/>
  <c r="B10" i="3"/>
  <c r="B9" i="3"/>
  <c r="B12" i="2"/>
  <c r="B11" i="2"/>
  <c r="B10" i="2"/>
  <c r="B9" i="2"/>
  <c r="B8" i="1"/>
</calcChain>
</file>

<file path=xl/sharedStrings.xml><?xml version="1.0" encoding="utf-8"?>
<sst xmlns="http://schemas.openxmlformats.org/spreadsheetml/2006/main" count="21" uniqueCount="16">
  <si>
    <t>Parametro</t>
  </si>
  <si>
    <t>Valor</t>
  </si>
  <si>
    <t>ke</t>
  </si>
  <si>
    <t>kd</t>
  </si>
  <si>
    <t>Tc</t>
  </si>
  <si>
    <t>D</t>
  </si>
  <si>
    <t>E</t>
  </si>
  <si>
    <t>WACC</t>
  </si>
  <si>
    <t>COK</t>
  </si>
  <si>
    <t>Año</t>
  </si>
  <si>
    <t>Flujo</t>
  </si>
  <si>
    <t>VAN (WACC)</t>
  </si>
  <si>
    <t>TIR</t>
  </si>
  <si>
    <t>PRD simple</t>
  </si>
  <si>
    <t>IR</t>
  </si>
  <si>
    <t>VAN (COK)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</si>
</sst>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S/&quot;\ #,##0.00;[Red]\-&quot;S/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BBCF-827C-43D0-B12B-96E9A92801D3}">
  <dimension ref="A1:B12"/>
  <sheetViews>
    <sheetView tabSelected="1" workbookViewId="0"/>
  </sheetViews>
  <sheetFormatPr baseColWidth="10" defaultRowHeight="14.4" x14ac:dyDescent="0.3"/>
  <cols>
    <col min="1" max="1" width="10.109375" bestFit="1" customWidth="1"/>
    <col min="2" max="2" width="12.109375" bestFit="1" customWidth="1"/>
  </cols>
  <sheetData>
    <row r="1" spans="1:2" x14ac:dyDescent="0.3">
      <c r="A1" t="s">
        <v>9</v>
      </c>
      <c r="B1" t="s">
        <v>10</v>
      </c>
    </row>
    <row r="2" spans="1:2" x14ac:dyDescent="0.3">
      <c r="A2">
        <v>0</v>
      </c>
      <c r="B2">
        <v>-54700</v>
      </c>
    </row>
    <row r="3" spans="1:2" x14ac:dyDescent="0.3">
      <c r="A3">
        <v>1</v>
      </c>
      <c r="B3">
        <v>-30180</v>
      </c>
    </row>
    <row r="4" spans="1:2" x14ac:dyDescent="0.3">
      <c r="A4">
        <v>2</v>
      </c>
      <c r="B4">
        <v>49572</v>
      </c>
    </row>
    <row r="5" spans="1:2" x14ac:dyDescent="0.3">
      <c r="A5">
        <v>3</v>
      </c>
      <c r="B5">
        <v>157247.34</v>
      </c>
    </row>
    <row r="6" spans="1:2" x14ac:dyDescent="0.3">
      <c r="A6">
        <v>4</v>
      </c>
      <c r="B6">
        <v>333062.33</v>
      </c>
    </row>
    <row r="7" spans="1:2" x14ac:dyDescent="0.3">
      <c r="A7">
        <v>5</v>
      </c>
      <c r="B7">
        <v>567869.27</v>
      </c>
    </row>
    <row r="9" spans="1:2" x14ac:dyDescent="0.3">
      <c r="A9" t="s">
        <v>15</v>
      </c>
      <c r="B9" s="1">
        <f xml:space="preserve"> NPV(Capital!B9, B4:B7) + B3</f>
        <v>759710.31071753765</v>
      </c>
    </row>
    <row r="10" spans="1:2" x14ac:dyDescent="0.3">
      <c r="A10" t="s">
        <v>12</v>
      </c>
      <c r="B10" s="2">
        <f xml:space="preserve"> IRR(B3:B7)</f>
        <v>2.9626235933874008</v>
      </c>
    </row>
    <row r="11" spans="1:2" x14ac:dyDescent="0.3">
      <c r="A11" t="s">
        <v>13</v>
      </c>
      <c r="B11">
        <f ca="1" xml:space="preserve"> MATCH(0,MMULT(--(SUBTOTAL(9,OFFSET(B3,ROW(B3:B7)-ROW(B3),,1))&gt;0),1),0)</f>
        <v>1</v>
      </c>
    </row>
    <row r="12" spans="1:2" x14ac:dyDescent="0.3">
      <c r="A12" t="s">
        <v>14</v>
      </c>
      <c r="B12">
        <f xml:space="preserve"> NPV(Capital!B9, B4:B7) / ABS(B3)</f>
        <v>26.172641176856782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5754-2229-4965-8216-FA8794498CB4}">
  <dimension ref="A1:B12"/>
  <sheetViews>
    <sheetView workbookViewId="0"/>
  </sheetViews>
  <sheetFormatPr baseColWidth="10" defaultRowHeight="14.4" x14ac:dyDescent="0.3"/>
  <cols>
    <col min="1" max="1" width="11.21875" bestFit="1" customWidth="1"/>
    <col min="2" max="2" width="12.109375" bestFit="1" customWidth="1"/>
  </cols>
  <sheetData>
    <row r="1" spans="1:2" x14ac:dyDescent="0.3">
      <c r="A1" t="s">
        <v>9</v>
      </c>
      <c r="B1" t="s">
        <v>10</v>
      </c>
    </row>
    <row r="2" spans="1:2" x14ac:dyDescent="0.3">
      <c r="A2">
        <v>0</v>
      </c>
      <c r="B2">
        <v>-124000</v>
      </c>
    </row>
    <row r="3" spans="1:2" x14ac:dyDescent="0.3">
      <c r="A3">
        <v>1</v>
      </c>
      <c r="B3">
        <v>-600</v>
      </c>
    </row>
    <row r="4" spans="1:2" x14ac:dyDescent="0.3">
      <c r="A4">
        <v>2</v>
      </c>
      <c r="B4">
        <v>79152</v>
      </c>
    </row>
    <row r="5" spans="1:2" x14ac:dyDescent="0.3">
      <c r="A5">
        <v>3</v>
      </c>
      <c r="B5">
        <v>186827.34</v>
      </c>
    </row>
    <row r="6" spans="1:2" x14ac:dyDescent="0.3">
      <c r="A6">
        <v>4</v>
      </c>
      <c r="B6">
        <v>333062.33</v>
      </c>
    </row>
    <row r="7" spans="1:2" x14ac:dyDescent="0.3">
      <c r="A7">
        <v>5</v>
      </c>
      <c r="B7">
        <v>567869.27</v>
      </c>
    </row>
    <row r="9" spans="1:2" x14ac:dyDescent="0.3">
      <c r="A9" t="s">
        <v>11</v>
      </c>
      <c r="B9" s="1">
        <f xml:space="preserve"> NPV(Capital!B8, B4:B7) + B3</f>
        <v>818124.87097120902</v>
      </c>
    </row>
    <row r="10" spans="1:2" x14ac:dyDescent="0.3">
      <c r="A10" t="s">
        <v>12</v>
      </c>
      <c r="B10" s="2">
        <f xml:space="preserve"> IRR(B3:B7)</f>
        <v>133.27022783219007</v>
      </c>
    </row>
    <row r="11" spans="1:2" x14ac:dyDescent="0.3">
      <c r="A11" t="s">
        <v>13</v>
      </c>
      <c r="B11">
        <f ca="1" xml:space="preserve"> MATCH(0,MMULT(--(SUBTOTAL(9,OFFSET(B3,ROW(B3:B7)-ROW(B3),,1))&gt;0),1),0)</f>
        <v>1</v>
      </c>
    </row>
    <row r="12" spans="1:2" x14ac:dyDescent="0.3">
      <c r="A12" t="s">
        <v>14</v>
      </c>
      <c r="B12">
        <f xml:space="preserve"> NPV(Capital!B8, B4:B7) / ABS(B3)</f>
        <v>1364.5414516186818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DBB6-A985-411A-9A8C-6CF13443A6EC}">
  <dimension ref="A1:B9"/>
  <sheetViews>
    <sheetView workbookViewId="0"/>
  </sheetViews>
  <sheetFormatPr baseColWidth="10" defaultRowHeight="14.4" x14ac:dyDescent="0.3"/>
  <cols>
    <col min="1" max="1" width="9.5546875" bestFit="1" customWidth="1"/>
    <col min="2" max="2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0.11</v>
      </c>
    </row>
    <row r="3" spans="1:2" x14ac:dyDescent="0.3">
      <c r="A3" t="s">
        <v>3</v>
      </c>
      <c r="B3">
        <v>0.18</v>
      </c>
    </row>
    <row r="4" spans="1:2" x14ac:dyDescent="0.3">
      <c r="A4" t="s">
        <v>4</v>
      </c>
      <c r="B4">
        <v>0.29499999999999998</v>
      </c>
    </row>
    <row r="5" spans="1:2" x14ac:dyDescent="0.3">
      <c r="A5" t="s">
        <v>5</v>
      </c>
      <c r="B5">
        <v>70000</v>
      </c>
    </row>
    <row r="6" spans="1:2" x14ac:dyDescent="0.3">
      <c r="A6" t="s">
        <v>6</v>
      </c>
      <c r="B6">
        <v>54700</v>
      </c>
    </row>
    <row r="8" spans="1:2" x14ac:dyDescent="0.3">
      <c r="A8" t="s">
        <v>7</v>
      </c>
      <c r="B8">
        <f xml:space="preserve"> (B6/(B5+B6))*B2 + (B5/(B5+B6))*B3*(1-B4)</f>
        <v>0.1194867682437851</v>
      </c>
    </row>
    <row r="9" spans="1:2" x14ac:dyDescent="0.3">
      <c r="A9" t="s">
        <v>8</v>
      </c>
      <c r="B9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Financiero</vt:lpstr>
      <vt:lpstr>Economico</vt:lpstr>
      <vt:lpstr>Capital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Andres Huerta Roque</dc:creator>
  <cp:lastModifiedBy>Francis Andres Huerta Roque</cp:lastModifiedBy>
  <dcterms:created xsi:type="dcterms:W3CDTF">2025-12-02T00:09:33Z</dcterms:created>
  <dcterms:modified xsi:type="dcterms:W3CDTF">2025-12-02T00:09:38Z</dcterms:modified>
</cp:coreProperties>
</file>